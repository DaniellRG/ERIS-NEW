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Tabla Multiplicar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A3C6E"/>
      <sz val="12"/>
    </font>
    <font>
      <b val="1"/>
      <color rgb="001A3C6E"/>
      <sz val="14"/>
    </font>
    <font/>
    <font>
      <b val="1"/>
      <color rgb="00CC0000"/>
    </font>
    <font>
      <b val="1"/>
      <color rgb="00006600"/>
      <sz val="12"/>
    </font>
    <font>
      <b val="1"/>
      <color rgb="00006600"/>
    </font>
  </fonts>
  <fills count="4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pivotButton="0" quotePrefix="0" xfId="0"/>
    <xf numFmtId="3" fontId="2" fillId="0" borderId="1" pivotButton="0" quotePrefix="0" xfId="0"/>
    <xf numFmtId="0" fontId="5" fillId="0" borderId="1" pivotButton="0" quotePrefix="0" xfId="0"/>
    <xf numFmtId="3" fontId="0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'Ventas'!$A$2:$A$8</f>
            </numRef>
          </cat>
          <val>
            <numRef>
              <f>'Ventas'!$B$2:$B$8</f>
            </numRef>
          </val>
        </ser>
        <ser>
          <idx val="1"/>
          <order val="1"/>
          <tx>
            <strRef>
              <f>'Ventas'!C1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'Ventas'!$A$2:$A$8</f>
            </numRef>
          </cat>
          <val>
            <numRef>
              <f>'Ventas'!$C$2:$C$8</f>
            </numRef>
          </val>
        </ser>
        <ser>
          <idx val="2"/>
          <order val="2"/>
          <tx>
            <strRef>
              <f>'Ventas'!D1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'Ventas'!$A$2:$A$8</f>
            </numRef>
          </cat>
          <val>
            <numRef>
              <f>'Ventas'!$D$2:$D$8</f>
            </numRef>
          </val>
        </ser>
        <ser>
          <idx val="3"/>
          <order val="3"/>
          <tx>
            <strRef>
              <f>'Ventas'!E1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'Ventas'!$A$2:$A$8</f>
            </numRef>
          </cat>
          <val>
            <numRef>
              <f>'Ventas'!$E$2:$E$8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Promedio por Estudiante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'Notas'!F2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'Notas'!$A$3:$A$8</f>
            </numRef>
          </cat>
          <val>
            <numRef>
              <f>'Notas'!$F$3:$F$8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Producto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Total</t>
        </is>
      </c>
    </row>
    <row r="2">
      <c r="A2" s="2" t="inlineStr">
        <is>
          <t>Laptop XYZ</t>
        </is>
      </c>
      <c r="B2" s="3" t="n">
        <v>120</v>
      </c>
      <c r="C2" s="3" t="n">
        <v>135</v>
      </c>
      <c r="D2" s="3" t="n">
        <v>110</v>
      </c>
      <c r="E2" s="3" t="n">
        <v>145</v>
      </c>
      <c r="F2" s="4">
        <f>SUM(B2:E2)</f>
        <v/>
      </c>
    </row>
    <row r="3">
      <c r="A3" s="2" t="inlineStr">
        <is>
          <t>Mouse Pro</t>
        </is>
      </c>
      <c r="B3" s="3" t="n">
        <v>200</v>
      </c>
      <c r="C3" s="3" t="n">
        <v>220</v>
      </c>
      <c r="D3" s="3" t="n">
        <v>190</v>
      </c>
      <c r="E3" s="3" t="n">
        <v>250</v>
      </c>
      <c r="F3" s="4">
        <f>SUM(B3:E3)</f>
        <v/>
      </c>
    </row>
    <row r="4">
      <c r="A4" s="2" t="inlineStr">
        <is>
          <t>Teclado Mecanico</t>
        </is>
      </c>
      <c r="B4" s="3" t="n">
        <v>85</v>
      </c>
      <c r="C4" s="3" t="n">
        <v>95</v>
      </c>
      <c r="D4" s="3" t="n">
        <v>78</v>
      </c>
      <c r="E4" s="3" t="n">
        <v>110</v>
      </c>
      <c r="F4" s="4">
        <f>SUM(B4:E4)</f>
        <v/>
      </c>
    </row>
    <row r="5">
      <c r="A5" s="2" t="inlineStr">
        <is>
          <t>Monitor 27"</t>
        </is>
      </c>
      <c r="B5" s="3" t="n">
        <v>45</v>
      </c>
      <c r="C5" s="3" t="n">
        <v>50</v>
      </c>
      <c r="D5" s="3" t="n">
        <v>42</v>
      </c>
      <c r="E5" s="3" t="n">
        <v>55</v>
      </c>
      <c r="F5" s="4">
        <f>SUM(B5:E5)</f>
        <v/>
      </c>
    </row>
    <row r="6">
      <c r="A6" s="2" t="inlineStr">
        <is>
          <t>Audifonos Bluetooth</t>
        </is>
      </c>
      <c r="B6" s="3" t="n">
        <v>150</v>
      </c>
      <c r="C6" s="3" t="n">
        <v>165</v>
      </c>
      <c r="D6" s="3" t="n">
        <v>140</v>
      </c>
      <c r="E6" s="3" t="n">
        <v>180</v>
      </c>
      <c r="F6" s="4">
        <f>SUM(B6:E6)</f>
        <v/>
      </c>
    </row>
    <row r="7">
      <c r="A7" s="2" t="inlineStr">
        <is>
          <t>Webcam HD</t>
        </is>
      </c>
      <c r="B7" s="3" t="n">
        <v>60</v>
      </c>
      <c r="C7" s="3" t="n">
        <v>55</v>
      </c>
      <c r="D7" s="3" t="n">
        <v>70</v>
      </c>
      <c r="E7" s="3" t="n">
        <v>65</v>
      </c>
      <c r="F7" s="4">
        <f>SUM(B7:E7)</f>
        <v/>
      </c>
    </row>
    <row r="8">
      <c r="A8" s="2" t="inlineStr">
        <is>
          <t>Tablet Android</t>
        </is>
      </c>
      <c r="B8" s="3" t="n">
        <v>30</v>
      </c>
      <c r="C8" s="3" t="n">
        <v>35</v>
      </c>
      <c r="D8" s="3" t="n">
        <v>28</v>
      </c>
      <c r="E8" s="3" t="n">
        <v>40</v>
      </c>
      <c r="F8" s="4">
        <f>SUM(B8:E8)</f>
        <v/>
      </c>
    </row>
    <row r="9">
      <c r="A9" s="5" t="inlineStr">
        <is>
          <t>TOTALES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CALCULADORA DE PRESUPUESTO</t>
        </is>
      </c>
    </row>
    <row r="2">
      <c r="A2" s="8" t="inlineStr">
        <is>
          <t>Ingresos mensuales</t>
        </is>
      </c>
      <c r="B2" s="9" t="n">
        <v>2500</v>
      </c>
    </row>
    <row r="3">
      <c r="A3" s="10" t="inlineStr">
        <is>
          <t>Arriendo</t>
        </is>
      </c>
      <c r="B3" s="11" t="n">
        <v>800</v>
      </c>
    </row>
    <row r="4">
      <c r="A4" s="10" t="inlineStr">
        <is>
          <t>Servicios</t>
        </is>
      </c>
      <c r="B4" s="11" t="n">
        <v>150</v>
      </c>
    </row>
    <row r="5">
      <c r="A5" s="10" t="inlineStr">
        <is>
          <t>Alimentacion</t>
        </is>
      </c>
      <c r="B5" s="11" t="n">
        <v>400</v>
      </c>
    </row>
    <row r="6">
      <c r="A6" s="10" t="inlineStr">
        <is>
          <t>Transporte</t>
        </is>
      </c>
      <c r="B6" s="11" t="n">
        <v>200</v>
      </c>
    </row>
    <row r="7">
      <c r="A7" s="10" t="inlineStr">
        <is>
          <t>Entretenimiento</t>
        </is>
      </c>
      <c r="B7" s="11" t="n">
        <v>150</v>
      </c>
    </row>
    <row r="8">
      <c r="A8" s="8" t="inlineStr">
        <is>
          <t>Ahorro</t>
        </is>
      </c>
      <c r="B8" s="11" t="n">
        <v>0</v>
      </c>
    </row>
    <row r="9">
      <c r="A9" s="12" t="inlineStr">
        <is>
          <t>Total Gastos</t>
        </is>
      </c>
      <c r="B9" s="13">
        <f>SUM(B3:B8)</f>
        <v/>
      </c>
    </row>
    <row r="10">
      <c r="A10" s="14" t="inlineStr">
        <is>
          <t>Disponible</t>
        </is>
      </c>
      <c r="B10" s="15">
        <f>B2-B9</f>
        <v/>
      </c>
    </row>
    <row r="12">
      <c r="A12" s="16" t="inlineStr">
        <is>
          <t>Porcentaje de Ahorro</t>
        </is>
      </c>
      <c r="B12" s="17">
        <f>IF(B2&gt;0, B8/B2*100,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TABLA DE MULTIPLICAR</t>
        </is>
      </c>
    </row>
    <row r="2">
      <c r="A2" t="inlineStr">
        <is>
          <t>Numero:</t>
        </is>
      </c>
      <c r="B2" s="18" t="n">
        <v>7</v>
      </c>
    </row>
    <row r="3">
      <c r="A3" s="1" t="inlineStr">
        <is>
          <t>Multiplicador</t>
        </is>
      </c>
      <c r="B3" s="1" t="inlineStr">
        <is>
          <t>Resultado</t>
        </is>
      </c>
      <c r="C3" s="1" t="inlineStr">
        <is>
          <t>Formula</t>
        </is>
      </c>
    </row>
    <row r="4">
      <c r="A4" s="19" t="n">
        <v>1</v>
      </c>
      <c r="B4" s="19">
        <f>B2*1</f>
        <v/>
      </c>
      <c r="C4" s="19">
        <f>1*B2</f>
        <v/>
      </c>
    </row>
    <row r="5">
      <c r="A5" s="19" t="n">
        <v>2</v>
      </c>
      <c r="B5" s="19">
        <f>B2*2</f>
        <v/>
      </c>
      <c r="C5" s="19">
        <f>2*B2</f>
        <v/>
      </c>
    </row>
    <row r="6">
      <c r="A6" s="19" t="n">
        <v>3</v>
      </c>
      <c r="B6" s="19">
        <f>B2*3</f>
        <v/>
      </c>
      <c r="C6" s="19">
        <f>3*B2</f>
        <v/>
      </c>
    </row>
    <row r="7">
      <c r="A7" s="19" t="n">
        <v>4</v>
      </c>
      <c r="B7" s="19">
        <f>B2*4</f>
        <v/>
      </c>
      <c r="C7" s="19">
        <f>4*B2</f>
        <v/>
      </c>
    </row>
    <row r="8">
      <c r="A8" s="19" t="n">
        <v>5</v>
      </c>
      <c r="B8" s="19">
        <f>B2*5</f>
        <v/>
      </c>
      <c r="C8" s="19">
        <f>5*B2</f>
        <v/>
      </c>
    </row>
    <row r="9">
      <c r="A9" s="19" t="n">
        <v>6</v>
      </c>
      <c r="B9" s="19">
        <f>B2*6</f>
        <v/>
      </c>
      <c r="C9" s="19">
        <f>6*B2</f>
        <v/>
      </c>
    </row>
    <row r="10">
      <c r="A10" s="19" t="n">
        <v>7</v>
      </c>
      <c r="B10" s="19">
        <f>B2*7</f>
        <v/>
      </c>
      <c r="C10" s="19">
        <f>7*B2</f>
        <v/>
      </c>
    </row>
    <row r="11">
      <c r="A11" s="19" t="n">
        <v>8</v>
      </c>
      <c r="B11" s="19">
        <f>B2*8</f>
        <v/>
      </c>
      <c r="C11" s="19">
        <f>8*B2</f>
        <v/>
      </c>
    </row>
    <row r="12">
      <c r="A12" s="19" t="n">
        <v>9</v>
      </c>
      <c r="B12" s="19">
        <f>B2*9</f>
        <v/>
      </c>
      <c r="C12" s="19">
        <f>9*B2</f>
        <v/>
      </c>
    </row>
    <row r="13">
      <c r="A13" s="19" t="n">
        <v>10</v>
      </c>
      <c r="B13" s="19">
        <f>B2*10</f>
        <v/>
      </c>
      <c r="C13" s="19">
        <f>10*B2</f>
        <v/>
      </c>
    </row>
    <row r="14">
      <c r="A14" s="19" t="n">
        <v>11</v>
      </c>
      <c r="B14" s="19">
        <f>B2*11</f>
        <v/>
      </c>
      <c r="C14" s="19">
        <f>11*B2</f>
        <v/>
      </c>
    </row>
    <row r="15">
      <c r="A15" s="19" t="n">
        <v>12</v>
      </c>
      <c r="B15" s="19">
        <f>B2*12</f>
        <v/>
      </c>
      <c r="C15" s="19">
        <f>12*B2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REGISTRO DE NOTAS</t>
        </is>
      </c>
    </row>
    <row r="2">
      <c r="A2" s="1" t="inlineStr">
        <is>
          <t>Estudiante</t>
        </is>
      </c>
      <c r="B2" s="1" t="inlineStr">
        <is>
          <t>Matematicas</t>
        </is>
      </c>
      <c r="C2" s="1" t="inlineStr">
        <is>
          <t>Ciencias</t>
        </is>
      </c>
      <c r="D2" s="1" t="inlineStr">
        <is>
          <t>Lenguaje</t>
        </is>
      </c>
      <c r="E2" s="1" t="inlineStr">
        <is>
          <t>Historia</t>
        </is>
      </c>
      <c r="F2" s="1" t="inlineStr">
        <is>
          <t>Promedio</t>
        </is>
      </c>
      <c r="G2" s="1" t="inlineStr">
        <is>
          <t>Estado</t>
        </is>
      </c>
    </row>
    <row r="3">
      <c r="A3" s="2" t="inlineStr">
        <is>
          <t>Ana Lopez</t>
        </is>
      </c>
      <c r="B3" s="20" t="n">
        <v>4.5</v>
      </c>
      <c r="C3" s="20" t="n">
        <v>4.2</v>
      </c>
      <c r="D3" s="20" t="n">
        <v>4.8</v>
      </c>
      <c r="E3" s="20" t="n">
        <v>4</v>
      </c>
      <c r="F3" s="21">
        <f>AVERAGE(B3:E3)</f>
        <v/>
      </c>
      <c r="G3" s="22">
        <f>IF(F3&gt;=3.5,"APROBADO","REPROBADO")</f>
        <v/>
      </c>
    </row>
    <row r="4">
      <c r="A4" s="2" t="inlineStr">
        <is>
          <t>Carlos Ruiz</t>
        </is>
      </c>
      <c r="B4" s="20" t="n">
        <v>3.8</v>
      </c>
      <c r="C4" s="20" t="n">
        <v>4</v>
      </c>
      <c r="D4" s="20" t="n">
        <v>3.5</v>
      </c>
      <c r="E4" s="20" t="n">
        <v>4.2</v>
      </c>
      <c r="F4" s="21">
        <f>AVERAGE(B4:E4)</f>
        <v/>
      </c>
      <c r="G4" s="22">
        <f>IF(F4&gt;=3.5,"APROBADO","REPROBADO")</f>
        <v/>
      </c>
    </row>
    <row r="5">
      <c r="A5" s="2" t="inlineStr">
        <is>
          <t>Maria Garcia</t>
        </is>
      </c>
      <c r="B5" s="20" t="n">
        <v>4.9</v>
      </c>
      <c r="C5" s="20" t="n">
        <v>4.7</v>
      </c>
      <c r="D5" s="20" t="n">
        <v>4.8</v>
      </c>
      <c r="E5" s="20" t="n">
        <v>5</v>
      </c>
      <c r="F5" s="21">
        <f>AVERAGE(B5:E5)</f>
        <v/>
      </c>
      <c r="G5" s="22">
        <f>IF(F5&gt;=3.5,"APROBADO","REPROBADO")</f>
        <v/>
      </c>
    </row>
    <row r="6">
      <c r="A6" s="2" t="inlineStr">
        <is>
          <t>Pedro Martinez</t>
        </is>
      </c>
      <c r="B6" s="20" t="n">
        <v>3</v>
      </c>
      <c r="C6" s="20" t="n">
        <v>3.5</v>
      </c>
      <c r="D6" s="20" t="n">
        <v>3.2</v>
      </c>
      <c r="E6" s="20" t="n">
        <v>2.8</v>
      </c>
      <c r="F6" s="21">
        <f>AVERAGE(B6:E6)</f>
        <v/>
      </c>
      <c r="G6" s="23">
        <f>IF(F6&gt;=3.5,"APROBADO","REPROBADO")</f>
        <v/>
      </c>
    </row>
    <row r="7">
      <c r="A7" s="2" t="inlineStr">
        <is>
          <t>Laura Jimenez</t>
        </is>
      </c>
      <c r="B7" s="20" t="n">
        <v>4</v>
      </c>
      <c r="C7" s="20" t="n">
        <v>4.5</v>
      </c>
      <c r="D7" s="20" t="n">
        <v>4.2</v>
      </c>
      <c r="E7" s="20" t="n">
        <v>4.3</v>
      </c>
      <c r="F7" s="21">
        <f>AVERAGE(B7:E7)</f>
        <v/>
      </c>
      <c r="G7" s="23">
        <f>IF(F7&gt;=3.5,"APROBADO","REPROBADO")</f>
        <v/>
      </c>
    </row>
    <row r="8">
      <c r="A8" s="2" t="inlineStr">
        <is>
          <t>Diego Rodriguez</t>
        </is>
      </c>
      <c r="B8" s="20" t="n">
        <v>3.5</v>
      </c>
      <c r="C8" s="20" t="n">
        <v>3</v>
      </c>
      <c r="D8" s="20" t="n">
        <v>3.8</v>
      </c>
      <c r="E8" s="20" t="n">
        <v>3.2</v>
      </c>
      <c r="F8" s="21">
        <f>AVERAGE(B8:E8)</f>
        <v/>
      </c>
      <c r="G8" s="23">
        <f>IF(F8&gt;=3.5,"APROBADO","REPROBADO")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2026-07-29T17:32:59Z</dcterms:created>
  <dcterms:modified xmlns:dcterms="http://purl.org/dc/terms/" xmlns:xsi="http://www.w3.org/2001/XMLSchema-instance" xsi:type="dcterms:W3CDTF">2026-07-29T17:32:59Z</dcterms:modified>
</cp:coreProperties>
</file>